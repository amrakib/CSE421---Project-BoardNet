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<sst xmlns="http://schemas.openxmlformats.org/spreadsheetml/2006/main" count="24" uniqueCount="24">
  <si>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Network</t>
  </si>
  <si>
    <t>Required Hosts</t>
  </si>
  <si>
    <t>Hosts Needed</t>
  </si>
  <si>
    <t>Host Bits</t>
  </si>
  <si>
    <t>Subnet</t>
  </si>
  <si>
    <t>Network IP</t>
  </si>
  <si>
    <t>Broadcast IP</t>
  </si>
  <si>
    <t>Subnet Mask</t>
  </si>
  <si>
    <t>Usable Range</t>
  </si>
  <si>
    <t>For Next Subnet</t>
  </si>
  <si>
    <t>Usable Hosts</t>
  </si>
  <si>
    <t>Wastage</t>
  </si>
  <si>
    <t>DHK</t>
  </si>
  <si>
    <t>14.17.0.0</t>
  </si>
  <si>
    <t>CTG</t>
  </si>
  <si>
    <t>RAJ</t>
  </si>
  <si>
    <t>SYL</t>
  </si>
  <si>
    <t>BAR</t>
  </si>
  <si>
    <t>KHU</t>
  </si>
  <si>
    <t>DHK/RAJ/SYL</t>
  </si>
  <si>
    <t>DHK/CTG</t>
  </si>
  <si>
    <t>DHK/KHU</t>
  </si>
  <si>
    <t>DHK/BAR</t>
  </si>
  <si>
    <t>KHU/BAR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</si>
</sst>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Times New Roman"/>
    </font>
    <font>
      <b/>
      <sz val="12.0"/>
      <color rgb="FFFFFFFF"/>
      <name val="Times New Roman"/>
    </font>
    <font>
      <sz val="12.0"/>
      <color rgb="FFFFFFFF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theme="1"/>
      <name val="Arial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2" displayName="VLSM" name="VLSM" id="1">
  <tableColumns count="12">
    <tableColumn name="Network" id="1"/>
    <tableColumn name="Required Hosts" id="2"/>
    <tableColumn name="Hosts Needed" id="3"/>
    <tableColumn name="Host Bits" id="4"/>
    <tableColumn name="Subnet" id="5"/>
    <tableColumn name="Network IP" id="6"/>
    <tableColumn name="Broadcast IP" id="7"/>
    <tableColumn name="Subnet Mask" id="8"/>
    <tableColumn name="Usable Range" id="9"/>
    <tableColumn name="For Next Subnet" id="10"/>
    <tableColumn name="Usable Hosts" id="11"/>
    <tableColumn name="Wastag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9.13"/>
    <col customWidth="1" min="3" max="3" width="19.25"/>
    <col customWidth="1" min="4" max="4" width="17.0"/>
    <col customWidth="1" min="5" max="5" width="12.63"/>
    <col customWidth="1" min="6" max="6" width="20.0"/>
    <col customWidth="1" min="7" max="7" width="20.25"/>
    <col customWidth="1" min="8" max="8" width="20.0"/>
    <col customWidth="1" min="9" max="9" width="28.25"/>
    <col customWidth="1" min="10" max="10" width="19.63"/>
    <col customWidth="1" min="11" max="11" width="16.5"/>
    <col customWidth="1" min="12" max="12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 ht="22.5" customHeight="1">
      <c r="A2" s="5" t="s">
        <v>12</v>
      </c>
      <c r="B2" s="6">
        <v>300.0</v>
      </c>
      <c r="C2" s="6">
        <f t="shared" ref="C2:C12" si="1">B2+2</f>
        <v>302</v>
      </c>
      <c r="D2" s="6">
        <f t="shared" ref="D2:D12" si="2">CEILING(LOG(C2,2),1)</f>
        <v>9</v>
      </c>
      <c r="E2" s="6">
        <f t="shared" ref="E2:E12" si="3">32-D2</f>
        <v>23</v>
      </c>
      <c r="F2" s="5" t="s">
        <v>13</v>
      </c>
      <c r="G2" s="6" t="str">
        <f>IFERROR(__xludf.DUMMYFUNCTION("TEXTJOIN(""."", TRUE, ARRAYFORMULA(VALUE(SPLIT(F2,""."")) + 255 - VALUE(SPLIT(H2,"".""))))"),"14.17.1.255")</f>
        <v>14.17.1.255</v>
      </c>
      <c r="H2" s="6" t="str">
        <f t="shared" ref="H2:H12" si="4">LET(p,VALUE(SUBSTITUTE(E2,"/","")),TEXTJOIN(".",TRUE,MAP(SEQUENCE(4,1),LAMBDA(i,IF(p&gt;=8*i,255,IF(p&lt;=8*(i-1),0,256-2^(8-(p-8*(i-1)))))))))</f>
        <v>255.255.254.0</v>
      </c>
      <c r="I2" s="7" t="str">
        <f>IFERROR(__xludf.DUMMYFUNCTION("TEXTJOIN(""."",TRUE,ARRAYFORMULA(VALUE(SPLIT(F2,"".""))+{0,0,0,1})) &amp; "" - "" &amp; TEXTJOIN(""."",TRUE,ARRAYFORMULA(VALUE(SPLIT(G2,"".""))-{0,0,0,1}))"),"14.17.0.1 - 14.17.1.254")</f>
        <v>14.17.0.1 - 14.17.1.254</v>
      </c>
      <c r="J2" s="6">
        <f>IFERROR(__xludf.DUMMYFUNCTION("256-INDEX(VALUE(SPLIT(H2,""."")),1,MAX(FILTER(SEQUENCE(1,4),VALUE(SPLIT(H2,"".""))&lt;&gt;0)))"),2.0)</f>
        <v>2</v>
      </c>
      <c r="K2" s="6">
        <f t="shared" ref="K2:K12" si="5">2^D2-2</f>
        <v>510</v>
      </c>
      <c r="L2" s="6">
        <f t="shared" ref="L2:L12" si="6">2^D2-C2</f>
        <v>210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</row>
    <row r="3" ht="22.5" customHeight="1">
      <c r="A3" s="5" t="s">
        <v>14</v>
      </c>
      <c r="B3" s="6">
        <v>200.0</v>
      </c>
      <c r="C3" s="6">
        <f t="shared" si="1"/>
        <v>202</v>
      </c>
      <c r="D3" s="6">
        <f t="shared" si="2"/>
        <v>8</v>
      </c>
      <c r="E3" s="6">
        <f t="shared" si="3"/>
        <v>24</v>
      </c>
      <c r="F3" s="6" t="str">
        <f>IFERROR(__xludf.DUMMYFUNCTION("LET(
  ip, SPLIT(F2,"".""),
  mask, SPLIT(H2,"".""),
  pos, MAX(FILTER(SEQUENCE(1,4), VALUE(mask)&lt;&gt;0)),
  ipnum, SUMPRODUCT(VALUE(ip), {16777216,65536,256,1}),
  newnum, MOD(ipnum + J2*256^(4-pos), 256^4),
  TEXTJOIN(""."", TRUE,
    INT(newnum/16777216),"&amp;"
    INT(MOD(newnum,16777216)/65536),
    INT(MOD(newnum,65536)/256),
    MOD(newnum,256)
  )
)"),"14.17.2.0")</f>
        <v>14.17.2.0</v>
      </c>
      <c r="G3" s="6" t="str">
        <f>IFERROR(__xludf.DUMMYFUNCTION("TEXTJOIN(""."", TRUE, ARRAYFORMULA(VALUE(SPLIT(F3,""."")) + 255 - VALUE(SPLIT(H3,"".""))))"),"14.17.2.255")</f>
        <v>14.17.2.255</v>
      </c>
      <c r="H3" s="6" t="str">
        <f t="shared" si="4"/>
        <v>255.255.255.0</v>
      </c>
      <c r="I3" s="7" t="str">
        <f>IFERROR(__xludf.DUMMYFUNCTION("TEXTJOIN(""."",TRUE,ARRAYFORMULA(VALUE(SPLIT(F3,"".""))+{0,0,0,1})) &amp; "" - "" &amp; TEXTJOIN(""."",TRUE,ARRAYFORMULA(VALUE(SPLIT(G3,"".""))-{0,0,0,1}))"),"14.17.2.1 - 14.17.2.254")</f>
        <v>14.17.2.1 - 14.17.2.254</v>
      </c>
      <c r="J3" s="6">
        <f>IFERROR(__xludf.DUMMYFUNCTION("256-INDEX(VALUE(SPLIT(H3,""."")),1,MAX(FILTER(SEQUENCE(1,4),VALUE(SPLIT(H3,"".""))&lt;&gt;0)))"),1.0)</f>
        <v>1</v>
      </c>
      <c r="K3" s="6">
        <f t="shared" si="5"/>
        <v>254</v>
      </c>
      <c r="L3" s="6">
        <f t="shared" si="6"/>
        <v>54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</row>
    <row r="4" ht="22.5" customHeight="1">
      <c r="A4" s="5" t="s">
        <v>15</v>
      </c>
      <c r="B4" s="6">
        <v>160.0</v>
      </c>
      <c r="C4" s="6">
        <f t="shared" si="1"/>
        <v>162</v>
      </c>
      <c r="D4" s="6">
        <f t="shared" si="2"/>
        <v>8</v>
      </c>
      <c r="E4" s="6">
        <f t="shared" si="3"/>
        <v>24</v>
      </c>
      <c r="F4" s="6" t="str">
        <f>IFERROR(__xludf.DUMMYFUNCTION("LET(
  ip, SPLIT(F3,"".""),
  mask, SPLIT(H3,"".""),
  pos, MAX(FILTER(SEQUENCE(1,4), VALUE(mask)&lt;&gt;0)),
  ipnum, SUMPRODUCT(VALUE(ip), {16777216,65536,256,1}),
  newnum, MOD(ipnum + J3*256^(4-pos), 256^4),
  TEXTJOIN(""."", TRUE,
    INT(newnum/16777216),"&amp;"
    INT(MOD(newnum,16777216)/65536),
    INT(MOD(newnum,65536)/256),
    MOD(newnum,256)
  )
)"),"14.17.3.0")</f>
        <v>14.17.3.0</v>
      </c>
      <c r="G4" s="6" t="str">
        <f>IFERROR(__xludf.DUMMYFUNCTION("TEXTJOIN(""."", TRUE, ARRAYFORMULA(VALUE(SPLIT(F4,""."")) + 255 - VALUE(SPLIT(H4,"".""))))"),"14.17.3.255")</f>
        <v>14.17.3.255</v>
      </c>
      <c r="H4" s="6" t="str">
        <f t="shared" si="4"/>
        <v>255.255.255.0</v>
      </c>
      <c r="I4" s="7" t="str">
        <f>IFERROR(__xludf.DUMMYFUNCTION("TEXTJOIN(""."",TRUE,ARRAYFORMULA(VALUE(SPLIT(F4,"".""))+{0,0,0,1})) &amp; "" - "" &amp; TEXTJOIN(""."",TRUE,ARRAYFORMULA(VALUE(SPLIT(G4,"".""))-{0,0,0,1}))"),"14.17.3.1 - 14.17.3.254")</f>
        <v>14.17.3.1 - 14.17.3.254</v>
      </c>
      <c r="J4" s="6">
        <f>IFERROR(__xludf.DUMMYFUNCTION("256-INDEX(VALUE(SPLIT(H4,""."")),1,MAX(FILTER(SEQUENCE(1,4),VALUE(SPLIT(H4,"".""))&lt;&gt;0)))"),1.0)</f>
        <v>1</v>
      </c>
      <c r="K4" s="6">
        <f t="shared" si="5"/>
        <v>254</v>
      </c>
      <c r="L4" s="6">
        <f t="shared" si="6"/>
        <v>94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</row>
    <row r="5" ht="22.5" customHeight="1">
      <c r="A5" s="5" t="s">
        <v>16</v>
      </c>
      <c r="B5" s="6">
        <v>150.0</v>
      </c>
      <c r="C5" s="6">
        <f t="shared" si="1"/>
        <v>152</v>
      </c>
      <c r="D5" s="6">
        <f t="shared" si="2"/>
        <v>8</v>
      </c>
      <c r="E5" s="6">
        <f t="shared" si="3"/>
        <v>24</v>
      </c>
      <c r="F5" s="6" t="str">
        <f>IFERROR(__xludf.DUMMYFUNCTION("LET(
  ip, SPLIT(F4,"".""),
  mask, SPLIT(H4,"".""),
  pos, MAX(FILTER(SEQUENCE(1,4), VALUE(mask)&lt;&gt;0)),
  ipnum, SUMPRODUCT(VALUE(ip), {16777216,65536,256,1}),
  newnum, MOD(ipnum + J4*256^(4-pos), 256^4),
  TEXTJOIN(""."", TRUE,
    INT(newnum/16777216),"&amp;"
    INT(MOD(newnum,16777216)/65536),
    INT(MOD(newnum,65536)/256),
    MOD(newnum,256)
  )
)"),"14.17.4.0")</f>
        <v>14.17.4.0</v>
      </c>
      <c r="G5" s="6" t="str">
        <f>IFERROR(__xludf.DUMMYFUNCTION("TEXTJOIN(""."", TRUE, ARRAYFORMULA(VALUE(SPLIT(F5,""."")) + 255 - VALUE(SPLIT(H5,"".""))))"),"14.17.4.255")</f>
        <v>14.17.4.255</v>
      </c>
      <c r="H5" s="6" t="str">
        <f t="shared" si="4"/>
        <v>255.255.255.0</v>
      </c>
      <c r="I5" s="7" t="str">
        <f>IFERROR(__xludf.DUMMYFUNCTION("TEXTJOIN(""."",TRUE,ARRAYFORMULA(VALUE(SPLIT(F5,"".""))+{0,0,0,1})) &amp; "" - "" &amp; TEXTJOIN(""."",TRUE,ARRAYFORMULA(VALUE(SPLIT(G5,"".""))-{0,0,0,1}))"),"14.17.4.1 - 14.17.4.254")</f>
        <v>14.17.4.1 - 14.17.4.254</v>
      </c>
      <c r="J5" s="6">
        <f>IFERROR(__xludf.DUMMYFUNCTION("256-INDEX(VALUE(SPLIT(H5,""."")),1,MAX(FILTER(SEQUENCE(1,4),VALUE(SPLIT(H5,"".""))&lt;&gt;0)))"),1.0)</f>
        <v>1</v>
      </c>
      <c r="K5" s="6">
        <f t="shared" si="5"/>
        <v>254</v>
      </c>
      <c r="L5" s="6">
        <f t="shared" si="6"/>
        <v>104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9"/>
    </row>
    <row r="6" ht="22.5" customHeight="1">
      <c r="A6" s="5" t="s">
        <v>17</v>
      </c>
      <c r="B6" s="6">
        <v>120.0</v>
      </c>
      <c r="C6" s="6">
        <f t="shared" si="1"/>
        <v>122</v>
      </c>
      <c r="D6" s="6">
        <f t="shared" si="2"/>
        <v>7</v>
      </c>
      <c r="E6" s="6">
        <f t="shared" si="3"/>
        <v>25</v>
      </c>
      <c r="F6" s="6" t="str">
        <f>IFERROR(__xludf.DUMMYFUNCTION("LET(
  ip, SPLIT(F5,"".""),
  mask, SPLIT(H5,"".""),
  pos, MAX(FILTER(SEQUENCE(1,4), VALUE(mask)&lt;&gt;0)),
  ipnum, SUMPRODUCT(VALUE(ip), {16777216,65536,256,1}),
  newnum, MOD(ipnum + J5*256^(4-pos), 256^4),
  TEXTJOIN(""."", TRUE,
    INT(newnum/16777216),"&amp;"
    INT(MOD(newnum,16777216)/65536),
    INT(MOD(newnum,65536)/256),
    MOD(newnum,256)
  )
)"),"14.17.5.0")</f>
        <v>14.17.5.0</v>
      </c>
      <c r="G6" s="6" t="str">
        <f>IFERROR(__xludf.DUMMYFUNCTION("TEXTJOIN(""."", TRUE, ARRAYFORMULA(VALUE(SPLIT(F6,""."")) + 255 - VALUE(SPLIT(H6,"".""))))"),"14.17.5.127")</f>
        <v>14.17.5.127</v>
      </c>
      <c r="H6" s="6" t="str">
        <f t="shared" si="4"/>
        <v>255.255.255.128</v>
      </c>
      <c r="I6" s="7" t="str">
        <f>IFERROR(__xludf.DUMMYFUNCTION("TEXTJOIN(""."",TRUE,ARRAYFORMULA(VALUE(SPLIT(F6,"".""))+{0,0,0,1})) &amp; "" - "" &amp; TEXTJOIN(""."",TRUE,ARRAYFORMULA(VALUE(SPLIT(G6,"".""))-{0,0,0,1}))"),"14.17.5.1 - 14.17.5.126")</f>
        <v>14.17.5.1 - 14.17.5.126</v>
      </c>
      <c r="J6" s="6">
        <f>IFERROR(__xludf.DUMMYFUNCTION("256-INDEX(VALUE(SPLIT(H6,""."")),1,MAX(FILTER(SEQUENCE(1,4),VALUE(SPLIT(H6,"".""))&lt;&gt;0)))"),128.0)</f>
        <v>128</v>
      </c>
      <c r="K6" s="6">
        <f t="shared" si="5"/>
        <v>126</v>
      </c>
      <c r="L6" s="6">
        <f t="shared" si="6"/>
        <v>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</row>
    <row r="7" ht="22.5" customHeight="1">
      <c r="A7" s="5" t="s">
        <v>18</v>
      </c>
      <c r="B7" s="6">
        <v>120.0</v>
      </c>
      <c r="C7" s="6">
        <f t="shared" si="1"/>
        <v>122</v>
      </c>
      <c r="D7" s="6">
        <f t="shared" si="2"/>
        <v>7</v>
      </c>
      <c r="E7" s="6">
        <f t="shared" si="3"/>
        <v>25</v>
      </c>
      <c r="F7" s="6" t="str">
        <f>IFERROR(__xludf.DUMMYFUNCTION("LET(
  ip, SPLIT(F6,"".""),
  mask, SPLIT(H6,"".""),
  pos, MAX(FILTER(SEQUENCE(1,4), VALUE(mask)&lt;&gt;0)),
  ipnum, SUMPRODUCT(VALUE(ip), {16777216,65536,256,1}),
  newnum, MOD(ipnum + J6*256^(4-pos), 256^4),
  TEXTJOIN(""."", TRUE,
    INT(newnum/16777216),"&amp;"
    INT(MOD(newnum,16777216)/65536),
    INT(MOD(newnum,65536)/256),
    MOD(newnum,256)
  )
)"),"14.17.5.128")</f>
        <v>14.17.5.128</v>
      </c>
      <c r="G7" s="6" t="str">
        <f>IFERROR(__xludf.DUMMYFUNCTION("TEXTJOIN(""."", TRUE, ARRAYFORMULA(VALUE(SPLIT(F7,""."")) + 255 - VALUE(SPLIT(H7,"".""))))"),"14.17.5.255")</f>
        <v>14.17.5.255</v>
      </c>
      <c r="H7" s="6" t="str">
        <f t="shared" si="4"/>
        <v>255.255.255.128</v>
      </c>
      <c r="I7" s="7" t="str">
        <f>IFERROR(__xludf.DUMMYFUNCTION("TEXTJOIN(""."",TRUE,ARRAYFORMULA(VALUE(SPLIT(F7,"".""))+{0,0,0,1})) &amp; "" - "" &amp; TEXTJOIN(""."",TRUE,ARRAYFORMULA(VALUE(SPLIT(G7,"".""))-{0,0,0,1}))"),"14.17.5.129 - 14.17.5.254")</f>
        <v>14.17.5.129 - 14.17.5.254</v>
      </c>
      <c r="J7" s="6">
        <f>IFERROR(__xludf.DUMMYFUNCTION("256-INDEX(VALUE(SPLIT(H7,""."")),1,MAX(FILTER(SEQUENCE(1,4),VALUE(SPLIT(H7,"".""))&lt;&gt;0)))"),128.0)</f>
        <v>128</v>
      </c>
      <c r="K7" s="6">
        <f t="shared" si="5"/>
        <v>126</v>
      </c>
      <c r="L7" s="6">
        <f t="shared" si="6"/>
        <v>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ht="22.5" customHeight="1">
      <c r="A8" s="5" t="s">
        <v>19</v>
      </c>
      <c r="B8" s="6">
        <v>3.0</v>
      </c>
      <c r="C8" s="6">
        <f t="shared" si="1"/>
        <v>5</v>
      </c>
      <c r="D8" s="6">
        <f t="shared" si="2"/>
        <v>3</v>
      </c>
      <c r="E8" s="6">
        <f t="shared" si="3"/>
        <v>29</v>
      </c>
      <c r="F8" s="6" t="str">
        <f>IFERROR(__xludf.DUMMYFUNCTION("LET(
  ip, SPLIT(F7,"".""),
  mask, SPLIT(H7,"".""),
  pos, MAX(FILTER(SEQUENCE(1,4), VALUE(mask)&lt;&gt;0)),
  ipnum, SUMPRODUCT(VALUE(ip), {16777216,65536,256,1}),
  newnum, MOD(ipnum + J7*256^(4-pos), 256^4),
  TEXTJOIN(""."", TRUE,
    INT(newnum/16777216),"&amp;"
    INT(MOD(newnum,16777216)/65536),
    INT(MOD(newnum,65536)/256),
    MOD(newnum,256)
  )
)"),"14.17.6.0")</f>
        <v>14.17.6.0</v>
      </c>
      <c r="G8" s="6" t="str">
        <f>IFERROR(__xludf.DUMMYFUNCTION("TEXTJOIN(""."", TRUE, ARRAYFORMULA(VALUE(SPLIT(F8,""."")) + 255 - VALUE(SPLIT(H8,"".""))))"),"14.17.6.7")</f>
        <v>14.17.6.7</v>
      </c>
      <c r="H8" s="6" t="str">
        <f t="shared" si="4"/>
        <v>255.255.255.248</v>
      </c>
      <c r="I8" s="7" t="str">
        <f>IFERROR(__xludf.DUMMYFUNCTION("TEXTJOIN(""."",TRUE,ARRAYFORMULA(VALUE(SPLIT(F8,"".""))+{0,0,0,1})) &amp; "" - "" &amp; TEXTJOIN(""."",TRUE,ARRAYFORMULA(VALUE(SPLIT(G8,"".""))-{0,0,0,1}))"),"14.17.6.1 - 14.17.6.6")</f>
        <v>14.17.6.1 - 14.17.6.6</v>
      </c>
      <c r="J8" s="6">
        <f>IFERROR(__xludf.DUMMYFUNCTION("256-INDEX(VALUE(SPLIT(H8,""."")),1,MAX(FILTER(SEQUENCE(1,4),VALUE(SPLIT(H8,"".""))&lt;&gt;0)))"),8.0)</f>
        <v>8</v>
      </c>
      <c r="K8" s="6">
        <f t="shared" si="5"/>
        <v>6</v>
      </c>
      <c r="L8" s="6">
        <f t="shared" si="6"/>
        <v>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</row>
    <row r="9" ht="22.5" customHeight="1">
      <c r="A9" s="5" t="s">
        <v>20</v>
      </c>
      <c r="B9" s="6">
        <v>2.0</v>
      </c>
      <c r="C9" s="6">
        <f t="shared" si="1"/>
        <v>4</v>
      </c>
      <c r="D9" s="6">
        <f t="shared" si="2"/>
        <v>2</v>
      </c>
      <c r="E9" s="6">
        <f t="shared" si="3"/>
        <v>30</v>
      </c>
      <c r="F9" s="6" t="str">
        <f>IFERROR(__xludf.DUMMYFUNCTION("LET(
  ip, SPLIT(F8,"".""),
  mask, SPLIT(H8,"".""),
  pos, MAX(FILTER(SEQUENCE(1,4), VALUE(mask)&lt;&gt;0)),
  ipnum, SUMPRODUCT(VALUE(ip), {16777216,65536,256,1}),
  newnum, MOD(ipnum + J8*256^(4-pos), 256^4),
  TEXTJOIN(""."", TRUE,
    INT(newnum/16777216),"&amp;"
    INT(MOD(newnum,16777216)/65536),
    INT(MOD(newnum,65536)/256),
    MOD(newnum,256)
  )
)"),"14.17.6.8")</f>
        <v>14.17.6.8</v>
      </c>
      <c r="G9" s="6" t="str">
        <f>IFERROR(__xludf.DUMMYFUNCTION("TEXTJOIN(""."", TRUE, ARRAYFORMULA(VALUE(SPLIT(F9,""."")) + 255 - VALUE(SPLIT(H9,"".""))))"),"14.17.6.11")</f>
        <v>14.17.6.11</v>
      </c>
      <c r="H9" s="6" t="str">
        <f t="shared" si="4"/>
        <v>255.255.255.252</v>
      </c>
      <c r="I9" s="7" t="str">
        <f>IFERROR(__xludf.DUMMYFUNCTION("TEXTJOIN(""."",TRUE,ARRAYFORMULA(VALUE(SPLIT(F9,"".""))+{0,0,0,1})) &amp; "" - "" &amp; TEXTJOIN(""."",TRUE,ARRAYFORMULA(VALUE(SPLIT(G9,"".""))-{0,0,0,1}))"),"14.17.6.9 - 14.17.6.10")</f>
        <v>14.17.6.9 - 14.17.6.10</v>
      </c>
      <c r="J9" s="6">
        <f>IFERROR(__xludf.DUMMYFUNCTION("256-INDEX(VALUE(SPLIT(H9,""."")),1,MAX(FILTER(SEQUENCE(1,4),VALUE(SPLIT(H9,"".""))&lt;&gt;0)))"),4.0)</f>
        <v>4</v>
      </c>
      <c r="K9" s="6">
        <f t="shared" si="5"/>
        <v>2</v>
      </c>
      <c r="L9" s="6">
        <f t="shared" si="6"/>
        <v>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9"/>
    </row>
    <row r="10" ht="22.5" customHeight="1">
      <c r="A10" s="5" t="s">
        <v>21</v>
      </c>
      <c r="B10" s="6">
        <v>2.0</v>
      </c>
      <c r="C10" s="6">
        <f t="shared" si="1"/>
        <v>4</v>
      </c>
      <c r="D10" s="6">
        <f t="shared" si="2"/>
        <v>2</v>
      </c>
      <c r="E10" s="6">
        <f t="shared" si="3"/>
        <v>30</v>
      </c>
      <c r="F10" s="6" t="str">
        <f>IFERROR(__xludf.DUMMYFUNCTION("LET(
  ip, SPLIT(F9,"".""),
  mask, SPLIT(H9,"".""),
  pos, MAX(FILTER(SEQUENCE(1,4), VALUE(mask)&lt;&gt;0)),
  ipnum, SUMPRODUCT(VALUE(ip), {16777216,65536,256,1}),
  newnum, MOD(ipnum + J9*256^(4-pos), 256^4),
  TEXTJOIN(""."", TRUE,
    INT(newnum/16777216),"&amp;"
    INT(MOD(newnum,16777216)/65536),
    INT(MOD(newnum,65536)/256),
    MOD(newnum,256)
  )
)"),"14.17.6.12")</f>
        <v>14.17.6.12</v>
      </c>
      <c r="G10" s="6" t="str">
        <f>IFERROR(__xludf.DUMMYFUNCTION("TEXTJOIN(""."", TRUE, ARRAYFORMULA(VALUE(SPLIT(F10,""."")) + 255 - VALUE(SPLIT(H10,"".""))))"),"14.17.6.15")</f>
        <v>14.17.6.15</v>
      </c>
      <c r="H10" s="6" t="str">
        <f t="shared" si="4"/>
        <v>255.255.255.252</v>
      </c>
      <c r="I10" s="7" t="str">
        <f>IFERROR(__xludf.DUMMYFUNCTION("TEXTJOIN(""."",TRUE,ARRAYFORMULA(VALUE(SPLIT(F10,"".""))+{0,0,0,1})) &amp; "" - "" &amp; TEXTJOIN(""."",TRUE,ARRAYFORMULA(VALUE(SPLIT(G10,"".""))-{0,0,0,1}))"),"14.17.6.13 - 14.17.6.14")</f>
        <v>14.17.6.13 - 14.17.6.14</v>
      </c>
      <c r="J10" s="6">
        <f>IFERROR(__xludf.DUMMYFUNCTION("256-INDEX(VALUE(SPLIT(H10,""."")),1,MAX(FILTER(SEQUENCE(1,4),VALUE(SPLIT(H10,"".""))&lt;&gt;0)))"),4.0)</f>
        <v>4</v>
      </c>
      <c r="K10" s="6">
        <f t="shared" si="5"/>
        <v>2</v>
      </c>
      <c r="L10" s="6">
        <f t="shared" si="6"/>
        <v>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9"/>
    </row>
    <row r="11" ht="22.5" customHeight="1">
      <c r="A11" s="5" t="s">
        <v>22</v>
      </c>
      <c r="B11" s="6">
        <v>2.0</v>
      </c>
      <c r="C11" s="6">
        <f t="shared" si="1"/>
        <v>4</v>
      </c>
      <c r="D11" s="6">
        <f t="shared" si="2"/>
        <v>2</v>
      </c>
      <c r="E11" s="6">
        <f t="shared" si="3"/>
        <v>30</v>
      </c>
      <c r="F11" s="6" t="str">
        <f>IFERROR(__xludf.DUMMYFUNCTION("LET(
  ip, SPLIT(F10,"".""),
  mask, SPLIT(H10,"".""),
  pos, MAX(FILTER(SEQUENCE(1,4), VALUE(mask)&lt;&gt;0)),
  ipnum, SUMPRODUCT(VALUE(ip), {16777216,65536,256,1}),
  newnum, MOD(ipnum + J10*256^(4-pos), 256^4),
  TEXTJOIN(""."", TRUE,
    INT(newnum/1677721"&amp;"6),
    INT(MOD(newnum,16777216)/65536),
    INT(MOD(newnum,65536)/256),
    MOD(newnum,256)
  )
)"),"14.17.6.16")</f>
        <v>14.17.6.16</v>
      </c>
      <c r="G11" s="6" t="str">
        <f>IFERROR(__xludf.DUMMYFUNCTION("TEXTJOIN(""."", TRUE, ARRAYFORMULA(VALUE(SPLIT(F11,""."")) + 255 - VALUE(SPLIT(H11,"".""))))"),"14.17.6.19")</f>
        <v>14.17.6.19</v>
      </c>
      <c r="H11" s="6" t="str">
        <f t="shared" si="4"/>
        <v>255.255.255.252</v>
      </c>
      <c r="I11" s="7" t="str">
        <f>IFERROR(__xludf.DUMMYFUNCTION("TEXTJOIN(""."",TRUE,ARRAYFORMULA(VALUE(SPLIT(F11,"".""))+{0,0,0,1})) &amp; "" - "" &amp; TEXTJOIN(""."",TRUE,ARRAYFORMULA(VALUE(SPLIT(G11,"".""))-{0,0,0,1}))"),"14.17.6.17 - 14.17.6.18")</f>
        <v>14.17.6.17 - 14.17.6.18</v>
      </c>
      <c r="J11" s="6">
        <f>IFERROR(__xludf.DUMMYFUNCTION("256-INDEX(VALUE(SPLIT(H11,""."")),1,MAX(FILTER(SEQUENCE(1,4),VALUE(SPLIT(H11,"".""))&lt;&gt;0)))"),4.0)</f>
        <v>4</v>
      </c>
      <c r="K11" s="6">
        <f t="shared" si="5"/>
        <v>2</v>
      </c>
      <c r="L11" s="6">
        <f t="shared" si="6"/>
        <v>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</row>
    <row r="12" ht="22.5" customHeight="1">
      <c r="A12" s="5" t="s">
        <v>23</v>
      </c>
      <c r="B12" s="6">
        <v>2.0</v>
      </c>
      <c r="C12" s="6">
        <f t="shared" si="1"/>
        <v>4</v>
      </c>
      <c r="D12" s="6">
        <f t="shared" si="2"/>
        <v>2</v>
      </c>
      <c r="E12" s="6">
        <f t="shared" si="3"/>
        <v>30</v>
      </c>
      <c r="F12" s="6" t="str">
        <f>IFERROR(__xludf.DUMMYFUNCTION("LET(
  ip, SPLIT(F11,"".""),
  mask, SPLIT(H11,"".""),
  pos, MAX(FILTER(SEQUENCE(1,4), VALUE(mask)&lt;&gt;0)),
  ipnum, SUMPRODUCT(VALUE(ip), {16777216,65536,256,1}),
  newnum, MOD(ipnum + J11*256^(4-pos), 256^4),
  TEXTJOIN(""."", TRUE,
    INT(newnum/1677721"&amp;"6),
    INT(MOD(newnum,16777216)/65536),
    INT(MOD(newnum,65536)/256),
    MOD(newnum,256)
  )
)"),"14.17.6.20")</f>
        <v>14.17.6.20</v>
      </c>
      <c r="G12" s="6" t="str">
        <f>IFERROR(__xludf.DUMMYFUNCTION("TEXTJOIN(""."", TRUE, ARRAYFORMULA(VALUE(SPLIT(F12,""."")) + 255 - VALUE(SPLIT(H12,"".""))))"),"14.17.6.23")</f>
        <v>14.17.6.23</v>
      </c>
      <c r="H12" s="6" t="str">
        <f t="shared" si="4"/>
        <v>255.255.255.252</v>
      </c>
      <c r="I12" s="7" t="str">
        <f>IFERROR(__xludf.DUMMYFUNCTION("TEXTJOIN(""."",TRUE,ARRAYFORMULA(VALUE(SPLIT(F12,"".""))+{0,0,0,1})) &amp; "" - "" &amp; TEXTJOIN(""."",TRUE,ARRAYFORMULA(VALUE(SPLIT(G12,"".""))-{0,0,0,1}))"),"14.17.6.21 - 14.17.6.22")</f>
        <v>14.17.6.21 - 14.17.6.22</v>
      </c>
      <c r="J12" s="6">
        <f>IFERROR(__xludf.DUMMYFUNCTION("256-INDEX(VALUE(SPLIT(H12,""."")),1,MAX(FILTER(SEQUENCE(1,4),VALUE(SPLIT(H12,"".""))&lt;&gt;0)))"),4.0)</f>
        <v>4</v>
      </c>
      <c r="K12" s="6">
        <f t="shared" si="5"/>
        <v>2</v>
      </c>
      <c r="L12" s="6">
        <f t="shared" si="6"/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9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